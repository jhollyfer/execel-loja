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xr:revisionPtr revIDLastSave="0" documentId="13_ncr:1_{E4049FA4-D18F-475B-B0B3-AD345B56230B}" xr6:coauthVersionLast="47" xr6:coauthVersionMax="47" xr10:uidLastSave="{00000000-0000-0000-0000-000000000000}"/>
  <bookViews>
    <workbookView xWindow="-103" yWindow="-103" windowWidth="16663" windowHeight="8863" activeTab="2" xr2:uid="{492BB01D-77B1-4153-B367-BCC97CB91F38}"/>
  </bookViews>
  <sheets>
    <sheet name="funções" sheetId="1" r:id="rId1"/>
    <sheet name="funcionarios" sheetId="2" r:id="rId2"/>
    <sheet name="produtos" sheetId="3" r:id="rId3"/>
    <sheet name="categorias" sheetId="5" r:id="rId4"/>
    <sheet name="venda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1" i="1"/>
  <c r="B5" i="1" s="1"/>
  <c r="B2" i="1"/>
  <c r="B3" i="1"/>
  <c r="G2" i="3"/>
  <c r="G3" i="3"/>
  <c r="G4" i="3"/>
  <c r="G5" i="3"/>
  <c r="G6" i="3"/>
  <c r="G7" i="3"/>
  <c r="F2" i="3"/>
  <c r="F3" i="3"/>
  <c r="F4" i="3"/>
  <c r="F5" i="3"/>
  <c r="F6" i="3"/>
  <c r="F7" i="3"/>
  <c r="B9" i="1" l="1"/>
  <c r="C9" i="1" s="1"/>
  <c r="B11" i="1"/>
  <c r="C11" i="1" s="1"/>
  <c r="B7" i="1"/>
  <c r="B10" i="1"/>
  <c r="B8" i="1"/>
  <c r="B6" i="1"/>
  <c r="C10" i="1" l="1"/>
</calcChain>
</file>

<file path=xl/sharedStrings.xml><?xml version="1.0" encoding="utf-8"?>
<sst xmlns="http://schemas.openxmlformats.org/spreadsheetml/2006/main" count="66" uniqueCount="57">
  <si>
    <t>Código</t>
  </si>
  <si>
    <t>Categoria</t>
  </si>
  <si>
    <t>Preço</t>
  </si>
  <si>
    <t>Estoque</t>
  </si>
  <si>
    <t>Situação</t>
  </si>
  <si>
    <t>P001</t>
  </si>
  <si>
    <t>Arroz 5kg</t>
  </si>
  <si>
    <t>Nome</t>
  </si>
  <si>
    <t>P002</t>
  </si>
  <si>
    <t>Feijão 1kg</t>
  </si>
  <si>
    <t>P003</t>
  </si>
  <si>
    <t>Refrigerante 2L</t>
  </si>
  <si>
    <t>P004</t>
  </si>
  <si>
    <t>Suco 1L</t>
  </si>
  <si>
    <t>P005</t>
  </si>
  <si>
    <t>Detergente</t>
  </si>
  <si>
    <t>P006</t>
  </si>
  <si>
    <t>Sabão em pó 1k</t>
  </si>
  <si>
    <t xml:space="preserve">Nome </t>
  </si>
  <si>
    <t>Descrição</t>
  </si>
  <si>
    <t>C001</t>
  </si>
  <si>
    <t>Alimento</t>
  </si>
  <si>
    <t>C002</t>
  </si>
  <si>
    <t>Bebida</t>
  </si>
  <si>
    <t>C003</t>
  </si>
  <si>
    <t>Limpeza</t>
  </si>
  <si>
    <t>Qtd Produtos</t>
  </si>
  <si>
    <t>Total vendido</t>
  </si>
  <si>
    <t>Categoria de alimento</t>
  </si>
  <si>
    <t>Categoria de bebida</t>
  </si>
  <si>
    <t>Categoria de limpeza</t>
  </si>
  <si>
    <t>Valor em estoque</t>
  </si>
  <si>
    <t>Matrícula</t>
  </si>
  <si>
    <t>Cargo</t>
  </si>
  <si>
    <t>Salário</t>
  </si>
  <si>
    <t>Admissão</t>
  </si>
  <si>
    <t>Anos de casa</t>
  </si>
  <si>
    <t>Bônus</t>
  </si>
  <si>
    <t>F001</t>
  </si>
  <si>
    <t>F002</t>
  </si>
  <si>
    <t>F003</t>
  </si>
  <si>
    <t>F004</t>
  </si>
  <si>
    <t>Ana Souza</t>
  </si>
  <si>
    <t>Bruno Lima</t>
  </si>
  <si>
    <t>Carla Mendes</t>
  </si>
  <si>
    <t>Diego Alves</t>
  </si>
  <si>
    <t>Data de hoje</t>
  </si>
  <si>
    <t>Ano atual</t>
  </si>
  <si>
    <t>Data e hora atual</t>
  </si>
  <si>
    <t>Montar uma data</t>
  </si>
  <si>
    <t>Extrair o dia</t>
  </si>
  <si>
    <t>Extrair o mês</t>
  </si>
  <si>
    <t>Extrair o ano</t>
  </si>
  <si>
    <t>Dias</t>
  </si>
  <si>
    <t>Diferença em meses</t>
  </si>
  <si>
    <t>Diferença em dias</t>
  </si>
  <si>
    <t>Diferença em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</si>
</sst>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8356-BBE5-4F85-A72C-177D12D6A28C}">
  <dimension ref="A1:C11"/>
  <sheetViews>
    <sheetView topLeftCell="A22" zoomScale="160" zoomScaleNormal="160" workbookViewId="0">
      <selection activeCell="C9" sqref="C9"/>
    </sheetView>
  </sheetViews>
  <sheetFormatPr defaultRowHeight="14.6" x14ac:dyDescent="0.4"/>
  <cols>
    <col min="1" max="1" width="17.4609375" bestFit="1" customWidth="1"/>
    <col min="2" max="2" width="15.07421875" bestFit="1" customWidth="1"/>
  </cols>
  <sheetData>
    <row r="1" spans="1:3" x14ac:dyDescent="0.4">
      <c r="A1" t="s">
        <v>46</v>
      </c>
      <c r="B1" s="1">
        <f ca="1">TODAY()</f>
        <v>46296</v>
      </c>
    </row>
    <row r="2" spans="1:3" x14ac:dyDescent="0.4">
      <c r="A2" t="s">
        <v>47</v>
      </c>
      <c r="B2">
        <f ca="1">YEAR(TODAY())</f>
        <v>2026</v>
      </c>
    </row>
    <row r="3" spans="1:3" x14ac:dyDescent="0.4">
      <c r="A3" t="s">
        <v>48</v>
      </c>
      <c r="B3" s="3">
        <f ca="1">NOW()</f>
        <v>46296.566993981483</v>
      </c>
    </row>
    <row r="4" spans="1:3" x14ac:dyDescent="0.4">
      <c r="A4" t="s">
        <v>49</v>
      </c>
      <c r="B4" s="1">
        <f>DATE(2025,9,30)</f>
        <v>45930</v>
      </c>
    </row>
    <row r="5" spans="1:3" x14ac:dyDescent="0.4">
      <c r="A5" t="s">
        <v>50</v>
      </c>
      <c r="B5">
        <f ca="1">DAY(B1)</f>
        <v>1</v>
      </c>
    </row>
    <row r="6" spans="1:3" x14ac:dyDescent="0.4">
      <c r="A6" t="s">
        <v>51</v>
      </c>
      <c r="B6">
        <f ca="1">MONTH(B1)</f>
        <v>10</v>
      </c>
    </row>
    <row r="7" spans="1:3" x14ac:dyDescent="0.4">
      <c r="A7" t="s">
        <v>52</v>
      </c>
      <c r="B7">
        <f>YEAR(B4)</f>
        <v>2025</v>
      </c>
    </row>
    <row r="8" spans="1:3" x14ac:dyDescent="0.4">
      <c r="A8" t="s">
        <v>53</v>
      </c>
      <c r="B8">
        <f ca="1">_xlfn.DAYS(B1,B4)</f>
        <v>366</v>
      </c>
    </row>
    <row r="9" spans="1:3" x14ac:dyDescent="0.4">
      <c r="A9" t="s">
        <v>54</v>
      </c>
      <c r="B9">
        <f ca="1">DATEDIF(B4,B1,"m")</f>
        <v>12</v>
      </c>
      <c r="C9" t="str">
        <f ca="1">DATEDIF(B4,B1,"m") &amp; IF(B9=1, " mês", " meses")</f>
        <v>12 meses</v>
      </c>
    </row>
    <row r="10" spans="1:3" x14ac:dyDescent="0.4">
      <c r="A10" t="s">
        <v>55</v>
      </c>
      <c r="B10">
        <f ca="1">DATEDIF(B4,B1,"d")</f>
        <v>366</v>
      </c>
      <c r="C10" t="str">
        <f ca="1">DATEDIF(B4,B1,"d") &amp; IF(B9=1, " dia", " dias")</f>
        <v>366 dias</v>
      </c>
    </row>
    <row r="11" spans="1:3" x14ac:dyDescent="0.4">
      <c r="A11" t="s">
        <v>56</v>
      </c>
      <c r="B11">
        <f ca="1">DATEDIF(B4,B1,"y")</f>
        <v>1</v>
      </c>
      <c r="C11" t="str">
        <f ca="1">DATEDIF(B4,B1,"y") &amp; IF(B11=1, " ano", " anos")</f>
        <v>1 ano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B94C-B4CA-474C-8D4C-0636A2D835EE}">
  <dimension ref="A1:H5"/>
  <sheetViews>
    <sheetView zoomScale="182" zoomScaleNormal="182" workbookViewId="0">
      <selection activeCell="F2" sqref="F2"/>
    </sheetView>
  </sheetViews>
  <sheetFormatPr defaultRowHeight="14.6" x14ac:dyDescent="0.4"/>
  <cols>
    <col min="1" max="1" width="8.3828125" bestFit="1" customWidth="1"/>
    <col min="2" max="2" width="11.921875" bestFit="1" customWidth="1"/>
    <col min="3" max="3" width="5.61328125" bestFit="1" customWidth="1"/>
    <col min="4" max="4" width="6.4609375" bestFit="1" customWidth="1"/>
    <col min="5" max="5" width="10.07421875" bestFit="1" customWidth="1"/>
    <col min="6" max="6" width="11.4609375" bestFit="1" customWidth="1"/>
  </cols>
  <sheetData>
    <row r="1" spans="1:8" x14ac:dyDescent="0.4">
      <c r="A1" t="s">
        <v>32</v>
      </c>
      <c r="B1" t="s">
        <v>7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34</v>
      </c>
    </row>
    <row r="2" spans="1:8" x14ac:dyDescent="0.4">
      <c r="A2" t="s">
        <v>38</v>
      </c>
      <c r="B2" t="s">
        <v>42</v>
      </c>
      <c r="D2">
        <v>1800</v>
      </c>
      <c r="E2" s="1">
        <v>43900</v>
      </c>
      <c r="F2" s="2"/>
    </row>
    <row r="3" spans="1:8" x14ac:dyDescent="0.4">
      <c r="A3" t="s">
        <v>39</v>
      </c>
      <c r="B3" t="s">
        <v>43</v>
      </c>
      <c r="D3">
        <v>1800</v>
      </c>
      <c r="E3" s="1">
        <v>45143</v>
      </c>
    </row>
    <row r="4" spans="1:8" x14ac:dyDescent="0.4">
      <c r="A4" t="s">
        <v>40</v>
      </c>
      <c r="B4" t="s">
        <v>44</v>
      </c>
      <c r="D4">
        <v>1600</v>
      </c>
      <c r="E4" s="1">
        <v>44576</v>
      </c>
    </row>
    <row r="5" spans="1:8" x14ac:dyDescent="0.4">
      <c r="A5" t="s">
        <v>41</v>
      </c>
      <c r="B5" t="s">
        <v>45</v>
      </c>
      <c r="D5">
        <v>3500</v>
      </c>
      <c r="E5" s="1">
        <v>43253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9FE6-22B6-4B3E-B475-8734FBCB4ACE}">
  <dimension ref="A1:G7"/>
  <sheetViews>
    <sheetView tabSelected="1" zoomScale="175" zoomScaleNormal="175" workbookViewId="0">
      <selection activeCell="G3" sqref="G3"/>
    </sheetView>
  </sheetViews>
  <sheetFormatPr defaultRowHeight="14.6" x14ac:dyDescent="0.4"/>
  <cols>
    <col min="2" max="2" width="13.61328125" bestFit="1" customWidth="1"/>
    <col min="3" max="3" width="8.69140625" bestFit="1" customWidth="1"/>
    <col min="6" max="6" width="12.07421875" bestFit="1" customWidth="1"/>
    <col min="7" max="7" width="14.921875" bestFit="1" customWidth="1"/>
  </cols>
  <sheetData>
    <row r="1" spans="1:7" x14ac:dyDescent="0.4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31</v>
      </c>
    </row>
    <row r="2" spans="1:7" x14ac:dyDescent="0.4">
      <c r="A2" t="s">
        <v>5</v>
      </c>
      <c r="B2" t="s">
        <v>6</v>
      </c>
      <c r="C2" t="s">
        <v>21</v>
      </c>
      <c r="D2">
        <v>28.9</v>
      </c>
      <c r="E2">
        <v>40</v>
      </c>
      <c r="F2" t="str">
        <f>IF(E2=0,"Sem estoque", IF(E2&lt;15,"Estoque baixo","Disponível"))</f>
        <v>Disponível</v>
      </c>
      <c r="G2">
        <f>D2*E2</f>
        <v>1156</v>
      </c>
    </row>
    <row r="3" spans="1:7" x14ac:dyDescent="0.4">
      <c r="A3" t="s">
        <v>8</v>
      </c>
      <c r="B3" t="s">
        <v>9</v>
      </c>
      <c r="C3" t="s">
        <v>21</v>
      </c>
      <c r="D3">
        <v>8.5</v>
      </c>
      <c r="E3">
        <v>60</v>
      </c>
      <c r="F3" t="str">
        <f t="shared" ref="F3:F7" si="0">IF(E3=0,"Sem estoque", IF(E3&lt;15,"Estoque baixo","Disponível"))</f>
        <v>Disponível</v>
      </c>
      <c r="G3">
        <f t="shared" ref="G3:G7" si="1">D3*E3</f>
        <v>510</v>
      </c>
    </row>
    <row r="4" spans="1:7" x14ac:dyDescent="0.4">
      <c r="A4" t="s">
        <v>10</v>
      </c>
      <c r="B4" t="s">
        <v>11</v>
      </c>
      <c r="C4" t="s">
        <v>23</v>
      </c>
      <c r="D4">
        <v>9</v>
      </c>
      <c r="E4">
        <v>35</v>
      </c>
      <c r="F4" t="str">
        <f t="shared" si="0"/>
        <v>Disponível</v>
      </c>
      <c r="G4">
        <f t="shared" si="1"/>
        <v>315</v>
      </c>
    </row>
    <row r="5" spans="1:7" x14ac:dyDescent="0.4">
      <c r="A5" t="s">
        <v>12</v>
      </c>
      <c r="B5" t="s">
        <v>13</v>
      </c>
      <c r="C5" t="s">
        <v>23</v>
      </c>
      <c r="D5">
        <v>7.5</v>
      </c>
      <c r="E5">
        <v>0</v>
      </c>
      <c r="F5" t="str">
        <f t="shared" si="0"/>
        <v>Sem estoque</v>
      </c>
      <c r="G5">
        <f t="shared" si="1"/>
        <v>0</v>
      </c>
    </row>
    <row r="6" spans="1:7" x14ac:dyDescent="0.4">
      <c r="A6" t="s">
        <v>14</v>
      </c>
      <c r="B6" t="s">
        <v>15</v>
      </c>
      <c r="C6" t="s">
        <v>25</v>
      </c>
      <c r="D6">
        <v>2.8</v>
      </c>
      <c r="E6">
        <v>80</v>
      </c>
      <c r="F6" t="str">
        <f t="shared" si="0"/>
        <v>Disponível</v>
      </c>
      <c r="G6">
        <f t="shared" si="1"/>
        <v>224</v>
      </c>
    </row>
    <row r="7" spans="1:7" x14ac:dyDescent="0.4">
      <c r="A7" t="s">
        <v>16</v>
      </c>
      <c r="B7" t="s">
        <v>17</v>
      </c>
      <c r="C7" t="s">
        <v>25</v>
      </c>
      <c r="D7">
        <v>14.9</v>
      </c>
      <c r="E7">
        <v>12</v>
      </c>
      <c r="F7" t="str">
        <f t="shared" si="0"/>
        <v>Estoque baixo</v>
      </c>
      <c r="G7">
        <f t="shared" si="1"/>
        <v>178.8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7A70E7-CF73-4558-A2A1-6BFAF67705A5}">
          <x14:formula1>
            <xm:f>categorias!$B$2:$B$4</xm:f>
          </x14:formula1>
          <xm:sqref>C2:C7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1674-6E16-471F-9C4C-A9284C26E6BA}">
  <dimension ref="A1:E4"/>
  <sheetViews>
    <sheetView zoomScale="190" zoomScaleNormal="190" workbookViewId="0">
      <selection activeCell="D2" sqref="D2"/>
    </sheetView>
  </sheetViews>
  <sheetFormatPr defaultRowHeight="14.6" x14ac:dyDescent="0.4"/>
  <cols>
    <col min="2" max="2" width="8" bestFit="1" customWidth="1"/>
    <col min="3" max="3" width="18.69140625" bestFit="1" customWidth="1"/>
    <col min="4" max="4" width="11.3828125" bestFit="1" customWidth="1"/>
    <col min="5" max="5" width="13.3828125" bestFit="1" customWidth="1"/>
  </cols>
  <sheetData>
    <row r="1" spans="1:5" x14ac:dyDescent="0.4">
      <c r="A1" t="s">
        <v>0</v>
      </c>
      <c r="B1" t="s">
        <v>18</v>
      </c>
      <c r="C1" t="s">
        <v>19</v>
      </c>
      <c r="D1" t="s">
        <v>26</v>
      </c>
      <c r="E1" t="s">
        <v>27</v>
      </c>
    </row>
    <row r="2" spans="1:5" x14ac:dyDescent="0.4">
      <c r="A2" t="s">
        <v>20</v>
      </c>
      <c r="B2" t="s">
        <v>21</v>
      </c>
      <c r="C2" t="s">
        <v>28</v>
      </c>
    </row>
    <row r="3" spans="1:5" x14ac:dyDescent="0.4">
      <c r="A3" t="s">
        <v>22</v>
      </c>
      <c r="B3" t="s">
        <v>23</v>
      </c>
      <c r="C3" t="s">
        <v>29</v>
      </c>
    </row>
    <row r="4" spans="1:5" x14ac:dyDescent="0.4">
      <c r="A4" t="s">
        <v>24</v>
      </c>
      <c r="B4" t="s">
        <v>25</v>
      </c>
      <c r="C4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1D5E-A5C3-4FB1-B892-B4D9A7208795}">
  <dimension ref="A1"/>
  <sheetViews>
    <sheetView workbookViewId="0"/>
  </sheetViews>
  <sheetFormatPr defaultRowHeight="14.6" x14ac:dyDescent="0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funções</vt:lpstr>
      <vt:lpstr>funcionarios</vt:lpstr>
      <vt:lpstr>produtos</vt:lpstr>
      <vt:lpstr>categorias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2026-09-30T16:33:17Z</dcterms:created>
  <dcterms:modified xsi:type="dcterms:W3CDTF">2026-10-01T16:36:42Z</dcterms:modified>
</cp:coreProperties>
</file>